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<sst xmlns="http://schemas.openxmlformats.org/spreadsheetml/2006/main" count="151" uniqueCount="133">
  <si>
    <t xml:space="preserve">🧡  SWIGGY  |  Sales Performance Dashboard  |  FY 2024-25</t>
  </si>
  <si>
    <t xml:space="preserve">   India Operations  |  April 2024 - March 2025  |  Figures in Rs. Lakhs unless noted</t>
  </si>
  <si>
    <t xml:space="preserve">🛒  Total Orders</t>
  </si>
  <si>
    <t xml:space="preserve">💰  Gross Revenue</t>
  </si>
  <si>
    <t xml:space="preserve">📦  Avg Order Value</t>
  </si>
  <si>
    <t xml:space="preserve">🏪  Active Restaurants</t>
  </si>
  <si>
    <t xml:space="preserve">👤  Active Users</t>
  </si>
  <si>
    <t xml:space="preserve">⭐  Avg Rating</t>
  </si>
  <si>
    <t xml:space="preserve">2,84,63,210</t>
  </si>
  <si>
    <t xml:space="preserve">Rs. 14,820 L</t>
  </si>
  <si>
    <t xml:space="preserve">Rs. 321</t>
  </si>
  <si>
    <t xml:space="preserve">2,18,540</t>
  </si>
  <si>
    <t xml:space="preserve">9.4 Cr</t>
  </si>
  <si>
    <t xml:space="preserve">4.2 / 5</t>
  </si>
  <si>
    <t xml:space="preserve">+18.4% vs LY</t>
  </si>
  <si>
    <t xml:space="preserve">+22.1% vs LY</t>
  </si>
  <si>
    <t xml:space="preserve">+3.2% vs LY</t>
  </si>
  <si>
    <t xml:space="preserve">+9.6% vs LY</t>
  </si>
  <si>
    <t xml:space="preserve">+14.7% vs LY</t>
  </si>
  <si>
    <t xml:space="preserve">-0.1 pts</t>
  </si>
  <si>
    <t xml:space="preserve">  📈  Monthly Revenue &amp; Orders Trend</t>
  </si>
  <si>
    <t xml:space="preserve">  🍕  Revenue by Food Category</t>
  </si>
  <si>
    <t xml:space="preserve">Month</t>
  </si>
  <si>
    <t xml:space="preserve">Revenue (Rs.L)</t>
  </si>
  <si>
    <t xml:space="preserve">Orders (Lakhs)</t>
  </si>
  <si>
    <t xml:space="preserve">Avg Order (Rs.)</t>
  </si>
  <si>
    <t xml:space="preserve">Growth %</t>
  </si>
  <si>
    <t xml:space="preserve">Category</t>
  </si>
  <si>
    <t xml:space="preserve">Share %</t>
  </si>
  <si>
    <t xml:space="preserve">vs LY</t>
  </si>
  <si>
    <t xml:space="preserve">Apr</t>
  </si>
  <si>
    <t xml:space="preserve">-</t>
  </si>
  <si>
    <t xml:space="preserve">🍛 Biryani &amp; Rice</t>
  </si>
  <si>
    <t xml:space="preserve">+3.2%</t>
  </si>
  <si>
    <t xml:space="preserve">May</t>
  </si>
  <si>
    <t xml:space="preserve">🍔 Burgers &amp; Fast Food</t>
  </si>
  <si>
    <t xml:space="preserve">+1.8%</t>
  </si>
  <si>
    <t xml:space="preserve">Jun</t>
  </si>
  <si>
    <t xml:space="preserve">🍕 Pizza</t>
  </si>
  <si>
    <t xml:space="preserve">-0.4%</t>
  </si>
  <si>
    <t xml:space="preserve">Jul</t>
  </si>
  <si>
    <t xml:space="preserve">🥡 Chinese &amp; Asian</t>
  </si>
  <si>
    <t xml:space="preserve">+2.1%</t>
  </si>
  <si>
    <t xml:space="preserve">Aug</t>
  </si>
  <si>
    <t xml:space="preserve">🥞 South Indian</t>
  </si>
  <si>
    <t xml:space="preserve">+0.9%</t>
  </si>
  <si>
    <t xml:space="preserve">Sep</t>
  </si>
  <si>
    <t xml:space="preserve">🍰 Desserts &amp; Sweets</t>
  </si>
  <si>
    <t xml:space="preserve">+4.3%</t>
  </si>
  <si>
    <t xml:space="preserve">Oct</t>
  </si>
  <si>
    <t xml:space="preserve">🥗 Healthy &amp; Salads</t>
  </si>
  <si>
    <t xml:space="preserve">+6.1%</t>
  </si>
  <si>
    <t xml:space="preserve">Nov</t>
  </si>
  <si>
    <t xml:space="preserve">🧃 Beverages</t>
  </si>
  <si>
    <t xml:space="preserve">+3.7%</t>
  </si>
  <si>
    <t xml:space="preserve">Dec</t>
  </si>
  <si>
    <t xml:space="preserve">🍽 Others</t>
  </si>
  <si>
    <t xml:space="preserve">-1.2%</t>
  </si>
  <si>
    <t xml:space="preserve">Jan</t>
  </si>
  <si>
    <t xml:space="preserve">TOTAL</t>
  </si>
  <si>
    <t xml:space="preserve">Feb</t>
  </si>
  <si>
    <t xml:space="preserve">Mar</t>
  </si>
  <si>
    <t xml:space="preserve">  🏙️  Top 10 Cities – Revenue</t>
  </si>
  <si>
    <t xml:space="preserve">  ⏰  Orders by Time Slot (Daily Avg)</t>
  </si>
  <si>
    <t xml:space="preserve">City</t>
  </si>
  <si>
    <t xml:space="preserve">Orders (L)</t>
  </si>
  <si>
    <t xml:space="preserve">Avg (Rs.)</t>
  </si>
  <si>
    <t xml:space="preserve">% Share</t>
  </si>
  <si>
    <t xml:space="preserve">Trend</t>
  </si>
  <si>
    <t xml:space="preserve">Time Slot</t>
  </si>
  <si>
    <t xml:space="preserve">Avg Orders</t>
  </si>
  <si>
    <t xml:space="preserve">% of Day</t>
  </si>
  <si>
    <t xml:space="preserve">Peak Day</t>
  </si>
  <si>
    <t xml:space="preserve">🌆 Mumbai</t>
  </si>
  <si>
    <t xml:space="preserve">🌙 12 AM – 6 AM</t>
  </si>
  <si>
    <t xml:space="preserve">Fri / Sat</t>
  </si>
  <si>
    <t xml:space="preserve">🌆 Delhi NCR</t>
  </si>
  <si>
    <t xml:space="preserve">🌅 6 AM – 9 AM</t>
  </si>
  <si>
    <t xml:space="preserve">Monday</t>
  </si>
  <si>
    <t xml:space="preserve">🌆 Bengaluru</t>
  </si>
  <si>
    <t xml:space="preserve">☀️ 9 AM – 12 PM</t>
  </si>
  <si>
    <t xml:space="preserve">Sunday</t>
  </si>
  <si>
    <t xml:space="preserve">🌇 Hyderabad</t>
  </si>
  <si>
    <t xml:space="preserve">🍱 12 PM – 3 PM</t>
  </si>
  <si>
    <t xml:space="preserve">Saturday</t>
  </si>
  <si>
    <t xml:space="preserve">🌇 Pune</t>
  </si>
  <si>
    <t xml:space="preserve">☕ 3 PM – 6 PM</t>
  </si>
  <si>
    <t xml:space="preserve">Wednesday</t>
  </si>
  <si>
    <t xml:space="preserve">🌇 Chennai</t>
  </si>
  <si>
    <t xml:space="preserve">🌆 6 PM – 9 PM</t>
  </si>
  <si>
    <t xml:space="preserve">Friday</t>
  </si>
  <si>
    <t xml:space="preserve">🌇 Kolkata</t>
  </si>
  <si>
    <t xml:space="preserve">🌙 9 PM – 12 AM</t>
  </si>
  <si>
    <t xml:space="preserve">🌆 Ahmedabad</t>
  </si>
  <si>
    <t xml:space="preserve">🌆 Jaipur</t>
  </si>
  <si>
    <t xml:space="preserve">🌆 Chandigarh</t>
  </si>
  <si>
    <t xml:space="preserve">  🛵  Delivery Performance – Quarterly</t>
  </si>
  <si>
    <t xml:space="preserve">  📣  Offers &amp; Discount Impact</t>
  </si>
  <si>
    <t xml:space="preserve">Metric</t>
  </si>
  <si>
    <t xml:space="preserve">Q1</t>
  </si>
  <si>
    <t xml:space="preserve">Q2</t>
  </si>
  <si>
    <t xml:space="preserve">Q3</t>
  </si>
  <si>
    <t xml:space="preserve">Q4</t>
  </si>
  <si>
    <t xml:space="preserve">FY25 Avg</t>
  </si>
  <si>
    <t xml:space="preserve">Offer Type</t>
  </si>
  <si>
    <t xml:space="preserve">Orders</t>
  </si>
  <si>
    <t xml:space="preserve">Discount (Rs.L)</t>
  </si>
  <si>
    <t xml:space="preserve">Net Rev (Rs.L)</t>
  </si>
  <si>
    <t xml:space="preserve">Disc %</t>
  </si>
  <si>
    <t xml:space="preserve">Avg Delivery Time (min)</t>
  </si>
  <si>
    <t xml:space="preserve">🎉 Flat 50% (cap Rs.100)</t>
  </si>
  <si>
    <t xml:space="preserve">On-Time Delivery %</t>
  </si>
  <si>
    <t xml:space="preserve">🚚 Free Delivery</t>
  </si>
  <si>
    <t xml:space="preserve">Cancellation Rate %</t>
  </si>
  <si>
    <t xml:space="preserve">🏦 Bank Card Offers</t>
  </si>
  <si>
    <t xml:space="preserve">Delivery Partner Rating</t>
  </si>
  <si>
    <t xml:space="preserve">👑 Swiggy One / Loyalty</t>
  </si>
  <si>
    <t xml:space="preserve">Orders per DE / Day</t>
  </si>
  <si>
    <t xml:space="preserve">🆕 New User Discount</t>
  </si>
  <si>
    <t xml:space="preserve">Avg Delivery Fee (Rs.)</t>
  </si>
  <si>
    <t xml:space="preserve">📅 Weekday Specials</t>
  </si>
  <si>
    <t xml:space="preserve">Data Source: Swiggy Internal BI  |  Analytics Team  |  Confidential – Internal Use Only  |  FY 2024-25</t>
  </si>
  <si>
    <t xml:space="preserve">Year</t>
  </si>
  <si>
    <t xml:space="preserve">Revenue_Rs_Lakhs</t>
  </si>
  <si>
    <t xml:space="preserve">Orders_Lakhs</t>
  </si>
  <si>
    <t xml:space="preserve">Avg_Order_Rs</t>
  </si>
  <si>
    <t xml:space="preserve">Active_Restaurants</t>
  </si>
  <si>
    <t xml:space="preserve">Active_Users_Cr</t>
  </si>
  <si>
    <t xml:space="preserve">New_Users_Lakhs</t>
  </si>
  <si>
    <t xml:space="preserve">Cancelled_Orders_L</t>
  </si>
  <si>
    <t xml:space="preserve">Avg_Delivery_Min</t>
  </si>
  <si>
    <t xml:space="preserve">On_Time_Pct</t>
  </si>
  <si>
    <t xml:space="preserve">Cancellation_Pct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</si>
</sst>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sz val="8"/>
      <color rgb="FF718096"/>
      <name val="Calibri"/>
      <family val="0"/>
      <charset val="1"/>
    </font>
    <font>
      <b val="true"/>
      <sz val="13"/>
      <color rgb="FF1C1C1C"/>
      <name val="Calibri"/>
      <family val="0"/>
      <charset val="1"/>
    </font>
    <font>
      <b val="true"/>
      <sz val="8"/>
      <color rgb="FF48BB78"/>
      <name val="Calibri"/>
      <family val="0"/>
      <charset val="1"/>
    </font>
    <font>
      <b val="true"/>
      <sz val="8"/>
      <color rgb="FFFC444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A202C"/>
      <name val="Calibri"/>
      <family val="0"/>
      <charset val="1"/>
    </font>
    <font>
      <sz val="9"/>
      <color rgb="FF718096"/>
      <name val="Calibri"/>
      <family val="0"/>
      <charset val="1"/>
    </font>
    <font>
      <b val="true"/>
      <sz val="9"/>
      <color rgb="FF48BB78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FC4444"/>
      <name val="Calibri"/>
      <family val="0"/>
      <charset val="1"/>
    </font>
    <font>
      <sz val="8"/>
      <color rgb="FFFC8019"/>
      <name val="Calibri"/>
      <family val="0"/>
      <charset val="1"/>
    </font>
    <font>
      <b val="true"/>
      <sz val="9"/>
      <color rgb="FF1C1C1C"/>
      <name val="Calibri"/>
      <family val="0"/>
      <charset val="1"/>
    </font>
    <font>
      <sz val="8"/>
      <color rgb="FF9CA3A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C1C1C"/>
        <bgColor rgb="FF1A202C"/>
      </patternFill>
    </fill>
    <fill>
      <patternFill patternType="solid">
        <fgColor rgb="FFFC8019"/>
        <bgColor rgb="FFF97316"/>
      </patternFill>
    </fill>
    <fill>
      <patternFill patternType="solid">
        <fgColor rgb="FFFFFBF7"/>
        <bgColor rgb="FFFFF9F0"/>
      </patternFill>
    </fill>
    <fill>
      <patternFill patternType="solid">
        <fgColor rgb="FF2D2D2D"/>
        <bgColor rgb="FF1A202C"/>
      </patternFill>
    </fill>
    <fill>
      <patternFill patternType="solid">
        <fgColor rgb="FFFFFFFF"/>
        <bgColor rgb="FFFFFBF7"/>
      </patternFill>
    </fill>
    <fill>
      <patternFill patternType="solid">
        <fgColor rgb="FFF97316"/>
        <bgColor rgb="FFFC8019"/>
      </patternFill>
    </fill>
    <fill>
      <patternFill patternType="solid">
        <fgColor rgb="FFF0F4FF"/>
        <bgColor rgb="FFF5F0FF"/>
      </patternFill>
    </fill>
    <fill>
      <patternFill patternType="solid">
        <fgColor rgb="FFFFF9F0"/>
        <bgColor rgb="FFFFFBF7"/>
      </patternFill>
    </fill>
    <fill>
      <patternFill patternType="solid">
        <fgColor rgb="FFFFFFF0"/>
        <bgColor rgb="FFFFFBF7"/>
      </patternFill>
    </fill>
    <fill>
      <patternFill patternType="solid">
        <fgColor rgb="FFFFF0F0"/>
        <bgColor rgb="FFFFF5E0"/>
      </patternFill>
    </fill>
    <fill>
      <patternFill patternType="solid">
        <fgColor rgb="FFF0FFF4"/>
        <bgColor rgb="FFF9F9F9"/>
      </patternFill>
    </fill>
    <fill>
      <patternFill patternType="solid">
        <fgColor rgb="FFFFF5E0"/>
        <bgColor rgb="FFFFF9F0"/>
      </patternFill>
    </fill>
    <fill>
      <patternFill patternType="solid">
        <fgColor rgb="FFF5F0FF"/>
        <bgColor rgb="FFF0F4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8D5C4"/>
      </left>
      <right style="thin">
        <color rgb="FFE8D5C4"/>
      </right>
      <top style="thin">
        <color rgb="FFE8D5C4"/>
      </top>
      <bottom style="thin">
        <color rgb="FFE8D5C4"/>
      </bottom>
      <diagonal/>
    </border>
    <border diagonalUp="false" diagonalDown="false">
      <left style="thin">
        <color rgb="FFFC8019"/>
      </left>
      <right style="thin">
        <color rgb="FFFC8019"/>
      </right>
      <top style="thin">
        <color rgb="FFFC8019"/>
      </top>
      <bottom style="thin">
        <color rgb="FFFC8019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C4444"/>
      <rgbColor rgb="FF00FF00"/>
      <rgbColor rgb="FF0000FF"/>
      <rgbColor rgb="FFFFF9F0"/>
      <rgbColor rgb="FFFF00FF"/>
      <rgbColor rgb="FFFFFBF7"/>
      <rgbColor rgb="FF800000"/>
      <rgbColor rgb="FF008000"/>
      <rgbColor rgb="FF000080"/>
      <rgbColor rgb="FF808000"/>
      <rgbColor rgb="FF800080"/>
      <rgbColor rgb="FF008080"/>
      <rgbColor rgb="FFA0AEC0"/>
      <rgbColor rgb="FF878787"/>
      <rgbColor rgb="FF9F7AEA"/>
      <rgbColor rgb="FF993366"/>
      <rgbColor rgb="FFFFF5E0"/>
      <rgbColor rgb="FFF0FFF4"/>
      <rgbColor rgb="FF660066"/>
      <rgbColor rgb="FFFC8019"/>
      <rgbColor rgb="FF0066CC"/>
      <rgbColor rgb="FFD1D5DB"/>
      <rgbColor rgb="FF000080"/>
      <rgbColor rgb="FFFF00FF"/>
      <rgbColor rgb="FFFFF0F0"/>
      <rgbColor rgb="FF00FFFF"/>
      <rgbColor rgb="FF800080"/>
      <rgbColor rgb="FF800000"/>
      <rgbColor rgb="FF008080"/>
      <rgbColor rgb="FF0000FF"/>
      <rgbColor rgb="FF00CCFF"/>
      <rgbColor rgb="FFF0F4FF"/>
      <rgbColor rgb="FFE2E8F0"/>
      <rgbColor rgb="FFFFFFF0"/>
      <rgbColor rgb="FFD9D9D9"/>
      <rgbColor rgb="FFE8D5C4"/>
      <rgbColor rgb="FFF5F0FF"/>
      <rgbColor rgb="FFFCC77A"/>
      <rgbColor rgb="FF4F81BD"/>
      <rgbColor rgb="FF4299E1"/>
      <rgbColor rgb="FFF9F9F9"/>
      <rgbColor rgb="FFFCB05A"/>
      <rgbColor rgb="FFFC9A3A"/>
      <rgbColor rgb="FFF97316"/>
      <rgbColor rgb="FF718096"/>
      <rgbColor rgb="FF9CA3AF"/>
      <rgbColor rgb="FF003366"/>
      <rgbColor rgb="FF48BB78"/>
      <rgbColor rgb="FF1A202C"/>
      <rgbColor rgb="FF1C1C1C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(Rs.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Revenue (Rs.L)</c:v>
                </c:pt>
              </c:strCache>
            </c:strRef>
          </c:tx>
          <c:spPr>
            <a:solidFill>
              <a:srgbClr val="fc8019"/>
            </a:solidFill>
            <a:ln w="9360">
              <a:solidFill>
                <a:srgbClr val="fc801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Dashboard!$B$14:$B$25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Dashboard!$C$14:$C$25</c:f>
              <c:numCache>
                <c:formatCode>#,##0</c:formatCode>
                <c:ptCount val="12"/>
                <c:pt idx="0">
                  <c:v>1080</c:v>
                </c:pt>
                <c:pt idx="1">
                  <c:v>1120</c:v>
                </c:pt>
                <c:pt idx="2">
                  <c:v>1090</c:v>
                </c:pt>
                <c:pt idx="3">
                  <c:v>1180</c:v>
                </c:pt>
                <c:pt idx="4">
                  <c:v>1240</c:v>
                </c:pt>
                <c:pt idx="5">
                  <c:v>1230</c:v>
                </c:pt>
                <c:pt idx="6">
                  <c:v>1310</c:v>
                </c:pt>
                <c:pt idx="7">
                  <c:v>1390</c:v>
                </c:pt>
                <c:pt idx="8">
                  <c:v>1450</c:v>
                </c:pt>
                <c:pt idx="9">
                  <c:v>1260</c:v>
                </c:pt>
                <c:pt idx="10">
                  <c:v>1190</c:v>
                </c:pt>
                <c:pt idx="11">
                  <c:v>1280</c:v>
                </c:pt>
              </c:numCache>
            </c:numRef>
          </c:val>
        </c:ser>
        <c:gapWidth val="150"/>
        <c:overlap val="0"/>
        <c:axId val="82613002"/>
        <c:axId val="19067367"/>
      </c:barChart>
      <c:catAx>
        <c:axId val="82613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67367"/>
        <c:crosses val="autoZero"/>
        <c:auto val="1"/>
        <c:lblAlgn val="ctr"/>
        <c:lblOffset val="100"/>
        <c:noMultiLvlLbl val="0"/>
      </c:catAx>
      <c:valAx>
        <c:axId val="19067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Rs. Lakhs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130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 (Lakhs)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Dashboard!D13</c:f>
              <c:strCache>
                <c:ptCount val="1"/>
                <c:pt idx="0">
                  <c:v>Orders (Lakhs)</c:v>
                </c:pt>
              </c:strCache>
            </c:strRef>
          </c:tx>
          <c:spPr>
            <a:solidFill>
              <a:srgbClr val="4299e1"/>
            </a:solidFill>
            <a:ln w="20160">
              <a:solidFill>
                <a:srgbClr val="4299e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Dashboard!$B$14:$B$25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Dashboard!$D$14:$D$25</c:f>
              <c:numCache>
                <c:formatCode>#,##0</c:formatCode>
                <c:ptCount val="12"/>
                <c:pt idx="0">
                  <c:v>218</c:v>
                </c:pt>
                <c:pt idx="1">
                  <c:v>224</c:v>
                </c:pt>
                <c:pt idx="2">
                  <c:v>216</c:v>
                </c:pt>
                <c:pt idx="3">
                  <c:v>238</c:v>
                </c:pt>
                <c:pt idx="4">
                  <c:v>251</c:v>
                </c:pt>
                <c:pt idx="5">
                  <c:v>247</c:v>
                </c:pt>
                <c:pt idx="6">
                  <c:v>264</c:v>
                </c:pt>
                <c:pt idx="7">
                  <c:v>278</c:v>
                </c:pt>
                <c:pt idx="8">
                  <c:v>291</c:v>
                </c:pt>
                <c:pt idx="9">
                  <c:v>253</c:v>
                </c:pt>
                <c:pt idx="10">
                  <c:v>239</c:v>
                </c:pt>
                <c:pt idx="11">
                  <c:v>257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437044"/>
        <c:axId val="91112920"/>
      </c:lineChart>
      <c:catAx>
        <c:axId val="26437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12920"/>
        <c:crosses val="autoZero"/>
        <c:auto val="1"/>
        <c:lblAlgn val="ctr"/>
        <c:lblOffset val="100"/>
        <c:noMultiLvlLbl val="0"/>
      </c:catAx>
      <c:valAx>
        <c:axId val="91112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 (Lakhs)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370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Mix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Dashboard!J13</c:f>
              <c:strCache>
                <c:ptCount val="1"/>
                <c:pt idx="0">
                  <c:v>Revenue (Rs.L)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c801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c9a3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cb05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4299e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9f7ae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48bb7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fc44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fcc7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a0aec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Dashboard!$I$14:$I$22</c:f>
              <c:strCache>
                <c:ptCount val="9"/>
                <c:pt idx="0">
                  <c:v>🍛 Biryani &amp; Rice</c:v>
                </c:pt>
                <c:pt idx="1">
                  <c:v>🍔 Burgers &amp; Fast Food</c:v>
                </c:pt>
                <c:pt idx="2">
                  <c:v>🍕 Pizza</c:v>
                </c:pt>
                <c:pt idx="3">
                  <c:v>🥡 Chinese &amp; Asian</c:v>
                </c:pt>
                <c:pt idx="4">
                  <c:v>🥞 South Indian</c:v>
                </c:pt>
                <c:pt idx="5">
                  <c:v>🍰 Desserts &amp; Sweets</c:v>
                </c:pt>
                <c:pt idx="6">
                  <c:v>🥗 Healthy &amp; Salads</c:v>
                </c:pt>
                <c:pt idx="7">
                  <c:v>🧃 Beverages</c:v>
                </c:pt>
                <c:pt idx="8">
                  <c:v>🍽 Others</c:v>
                </c:pt>
              </c:strCache>
            </c:strRef>
          </c:cat>
          <c:val>
            <c:numRef>
              <c:f>Dashboard!$J$14:$J$22</c:f>
              <c:numCache>
                <c:formatCode>#,##0</c:formatCode>
                <c:ptCount val="9"/>
                <c:pt idx="0">
                  <c:v>3280</c:v>
                </c:pt>
                <c:pt idx="1">
                  <c:v>2180</c:v>
                </c:pt>
                <c:pt idx="2">
                  <c:v>1940</c:v>
                </c:pt>
                <c:pt idx="3">
                  <c:v>1620</c:v>
                </c:pt>
                <c:pt idx="4">
                  <c:v>1480</c:v>
                </c:pt>
                <c:pt idx="5">
                  <c:v>890</c:v>
                </c:pt>
                <c:pt idx="6">
                  <c:v>740</c:v>
                </c:pt>
                <c:pt idx="7">
                  <c:v>680</c:v>
                </c:pt>
                <c:pt idx="8">
                  <c:v>2010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55</xdr:row>
      <xdr:rowOff>0</xdr:rowOff>
    </xdr:from>
    <xdr:to>
      <xdr:col>8</xdr:col>
      <xdr:colOff>452880</xdr:colOff>
      <xdr:row>70</xdr:row>
      <xdr:rowOff>170640</xdr:rowOff>
    </xdr:to>
    <xdr:graphicFrame>
      <xdr:nvGraphicFramePr>
        <xdr:cNvPr id="0" name="Chart 1"/>
        <xdr:cNvGraphicFramePr/>
      </xdr:nvGraphicFramePr>
      <xdr:xfrm>
        <a:off x="106200" y="107157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55</xdr:row>
      <xdr:rowOff>0</xdr:rowOff>
    </xdr:from>
    <xdr:to>
      <xdr:col>15</xdr:col>
      <xdr:colOff>452880</xdr:colOff>
      <xdr:row>70</xdr:row>
      <xdr:rowOff>170640</xdr:rowOff>
    </xdr:to>
    <xdr:graphicFrame>
      <xdr:nvGraphicFramePr>
        <xdr:cNvPr id="1" name="Chart 2"/>
        <xdr:cNvGraphicFramePr/>
      </xdr:nvGraphicFramePr>
      <xdr:xfrm>
        <a:off x="6132960" y="107157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66</xdr:row>
      <xdr:rowOff>0</xdr:rowOff>
    </xdr:from>
    <xdr:to>
      <xdr:col>8</xdr:col>
      <xdr:colOff>452880</xdr:colOff>
      <xdr:row>83</xdr:row>
      <xdr:rowOff>73440</xdr:rowOff>
    </xdr:to>
    <xdr:graphicFrame>
      <xdr:nvGraphicFramePr>
        <xdr:cNvPr id="2" name="Chart 3"/>
        <xdr:cNvGraphicFramePr/>
      </xdr:nvGraphicFramePr>
      <xdr:xfrm>
        <a:off x="106200" y="132303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1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7" min="2" style="0" width="14"/>
    <col collapsed="false" customWidth="true" hidden="false" outlineLevel="0" max="8" min="8" style="0" width="1.51"/>
    <col collapsed="false" customWidth="true" hidden="false" outlineLevel="0" max="14" min="9" style="0" width="14"/>
    <col collapsed="false" customWidth="true" hidden="false" outlineLevel="0" max="15" min="15" style="0" width="1.51"/>
  </cols>
  <sheetData>
    <row r="1" customFormat="false" ht="6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9.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7.5" hidden="false" customHeight="true" outlineLevel="0" collapsed="false"/>
    <row r="6" customFormat="false" ht="13.5" hidden="false" customHeight="true" outlineLevel="0" collapsed="false">
      <c r="B6" s="4"/>
      <c r="C6" s="4"/>
      <c r="D6" s="4"/>
      <c r="E6" s="4"/>
      <c r="F6" s="4"/>
      <c r="G6" s="4"/>
      <c r="I6" s="4"/>
      <c r="J6" s="4"/>
      <c r="K6" s="4"/>
      <c r="L6" s="4"/>
      <c r="M6" s="4"/>
      <c r="N6" s="4"/>
    </row>
    <row r="7" customFormat="false" ht="25.5" hidden="false" customHeight="true" outlineLevel="0" collapsed="false">
      <c r="B7" s="5" t="s">
        <v>2</v>
      </c>
      <c r="C7" s="5"/>
      <c r="D7" s="5" t="s">
        <v>3</v>
      </c>
      <c r="E7" s="5"/>
      <c r="F7" s="5" t="s">
        <v>4</v>
      </c>
      <c r="G7" s="5"/>
      <c r="I7" s="5" t="s">
        <v>5</v>
      </c>
      <c r="J7" s="5"/>
      <c r="K7" s="5" t="s">
        <v>6</v>
      </c>
      <c r="L7" s="5"/>
      <c r="M7" s="5" t="s">
        <v>7</v>
      </c>
      <c r="N7" s="5"/>
    </row>
    <row r="8" customFormat="false" ht="18" hidden="false" customHeight="true" outlineLevel="0" collapsed="false">
      <c r="B8" s="6" t="s">
        <v>8</v>
      </c>
      <c r="C8" s="6"/>
      <c r="D8" s="6" t="s">
        <v>9</v>
      </c>
      <c r="E8" s="6"/>
      <c r="F8" s="6" t="s">
        <v>10</v>
      </c>
      <c r="G8" s="6"/>
      <c r="I8" s="6" t="s">
        <v>11</v>
      </c>
      <c r="J8" s="6"/>
      <c r="K8" s="6" t="s">
        <v>12</v>
      </c>
      <c r="L8" s="6"/>
      <c r="M8" s="6" t="s">
        <v>13</v>
      </c>
      <c r="N8" s="6"/>
    </row>
    <row r="9" customFormat="false" ht="18" hidden="false" customHeight="true" outlineLevel="0" collapsed="false">
      <c r="B9" s="7" t="s">
        <v>14</v>
      </c>
      <c r="C9" s="7"/>
      <c r="D9" s="7" t="s">
        <v>15</v>
      </c>
      <c r="E9" s="7"/>
      <c r="F9" s="7" t="s">
        <v>16</v>
      </c>
      <c r="G9" s="7"/>
      <c r="I9" s="7" t="s">
        <v>17</v>
      </c>
      <c r="J9" s="7"/>
      <c r="K9" s="7" t="s">
        <v>18</v>
      </c>
      <c r="L9" s="7"/>
      <c r="M9" s="8" t="s">
        <v>19</v>
      </c>
      <c r="N9" s="8"/>
    </row>
    <row r="10" customFormat="false" ht="7.5" hidden="false" customHeight="true" outlineLevel="0" collapsed="false">
      <c r="B10" s="4"/>
      <c r="C10" s="4"/>
      <c r="D10" s="4"/>
      <c r="E10" s="4"/>
      <c r="F10" s="4"/>
      <c r="G10" s="4"/>
      <c r="I10" s="4"/>
      <c r="J10" s="4"/>
      <c r="K10" s="4"/>
      <c r="L10" s="4"/>
      <c r="M10" s="4"/>
      <c r="N10" s="4"/>
    </row>
    <row r="11" customFormat="false" ht="6" hidden="false" customHeight="true" outlineLevel="0" collapsed="false"/>
    <row r="12" customFormat="false" ht="19.5" hidden="false" customHeight="true" outlineLevel="0" collapsed="false">
      <c r="B12" s="9" t="s">
        <v>20</v>
      </c>
      <c r="C12" s="9"/>
      <c r="D12" s="9"/>
      <c r="E12" s="9"/>
      <c r="F12" s="9"/>
      <c r="G12" s="9"/>
      <c r="I12" s="9" t="s">
        <v>21</v>
      </c>
      <c r="J12" s="9"/>
      <c r="K12" s="9"/>
      <c r="L12" s="9"/>
      <c r="M12" s="9"/>
      <c r="N12" s="9"/>
    </row>
    <row r="13" customFormat="false" ht="18" hidden="false" customHeight="true" outlineLevel="0" collapsed="false">
      <c r="B13" s="10" t="s">
        <v>22</v>
      </c>
      <c r="C13" s="10" t="s">
        <v>23</v>
      </c>
      <c r="D13" s="10" t="s">
        <v>24</v>
      </c>
      <c r="E13" s="10" t="s">
        <v>25</v>
      </c>
      <c r="F13" s="10" t="s">
        <v>26</v>
      </c>
      <c r="I13" s="10" t="s">
        <v>27</v>
      </c>
      <c r="J13" s="10" t="s">
        <v>23</v>
      </c>
      <c r="K13" s="10" t="s">
        <v>28</v>
      </c>
      <c r="L13" s="10" t="s">
        <v>29</v>
      </c>
    </row>
    <row r="14" customFormat="false" ht="15.75" hidden="false" customHeight="true" outlineLevel="0" collapsed="false">
      <c r="B14" s="11" t="s">
        <v>30</v>
      </c>
      <c r="C14" s="12" t="n">
        <v>1080</v>
      </c>
      <c r="D14" s="12" t="n">
        <v>218</v>
      </c>
      <c r="E14" s="12" t="n">
        <v>4954</v>
      </c>
      <c r="F14" s="13" t="s">
        <v>31</v>
      </c>
      <c r="I14" s="14" t="s">
        <v>32</v>
      </c>
      <c r="J14" s="12" t="n">
        <v>3280</v>
      </c>
      <c r="K14" s="15" t="n">
        <v>0.221</v>
      </c>
      <c r="L14" s="16" t="s">
        <v>33</v>
      </c>
    </row>
    <row r="15" customFormat="false" ht="15.75" hidden="false" customHeight="true" outlineLevel="0" collapsed="false">
      <c r="B15" s="17" t="s">
        <v>34</v>
      </c>
      <c r="C15" s="18" t="n">
        <v>1120</v>
      </c>
      <c r="D15" s="18" t="n">
        <v>224</v>
      </c>
      <c r="E15" s="18" t="n">
        <v>5000</v>
      </c>
      <c r="F15" s="19" t="n">
        <f aca="false">C15/C14-1</f>
        <v>0.037037037037037</v>
      </c>
      <c r="I15" s="20" t="s">
        <v>35</v>
      </c>
      <c r="J15" s="18" t="n">
        <v>2180</v>
      </c>
      <c r="K15" s="21" t="n">
        <v>0.147</v>
      </c>
      <c r="L15" s="22" t="s">
        <v>36</v>
      </c>
    </row>
    <row r="16" customFormat="false" ht="15.75" hidden="false" customHeight="true" outlineLevel="0" collapsed="false">
      <c r="B16" s="11" t="s">
        <v>37</v>
      </c>
      <c r="C16" s="12" t="n">
        <v>1090</v>
      </c>
      <c r="D16" s="12" t="n">
        <v>216</v>
      </c>
      <c r="E16" s="12" t="n">
        <v>5046</v>
      </c>
      <c r="F16" s="23" t="n">
        <f aca="false">C16/C15-1</f>
        <v>-0.0267857142857143</v>
      </c>
      <c r="I16" s="14" t="s">
        <v>38</v>
      </c>
      <c r="J16" s="12" t="n">
        <v>1940</v>
      </c>
      <c r="K16" s="15" t="n">
        <v>0.131</v>
      </c>
      <c r="L16" s="24" t="s">
        <v>39</v>
      </c>
    </row>
    <row r="17" customFormat="false" ht="15.75" hidden="false" customHeight="true" outlineLevel="0" collapsed="false">
      <c r="B17" s="17" t="s">
        <v>40</v>
      </c>
      <c r="C17" s="18" t="n">
        <v>1180</v>
      </c>
      <c r="D17" s="18" t="n">
        <v>238</v>
      </c>
      <c r="E17" s="18" t="n">
        <v>4958</v>
      </c>
      <c r="F17" s="19" t="n">
        <f aca="false">C17/C16-1</f>
        <v>0.0825688073394495</v>
      </c>
      <c r="I17" s="20" t="s">
        <v>41</v>
      </c>
      <c r="J17" s="18" t="n">
        <v>1620</v>
      </c>
      <c r="K17" s="21" t="n">
        <v>0.109</v>
      </c>
      <c r="L17" s="22" t="s">
        <v>42</v>
      </c>
    </row>
    <row r="18" customFormat="false" ht="15.75" hidden="false" customHeight="true" outlineLevel="0" collapsed="false">
      <c r="B18" s="11" t="s">
        <v>43</v>
      </c>
      <c r="C18" s="12" t="n">
        <v>1240</v>
      </c>
      <c r="D18" s="12" t="n">
        <v>251</v>
      </c>
      <c r="E18" s="12" t="n">
        <v>4940</v>
      </c>
      <c r="F18" s="23" t="n">
        <f aca="false">C18/C17-1</f>
        <v>0.0508474576271187</v>
      </c>
      <c r="I18" s="14" t="s">
        <v>44</v>
      </c>
      <c r="J18" s="12" t="n">
        <v>1480</v>
      </c>
      <c r="K18" s="15" t="n">
        <v>0.099</v>
      </c>
      <c r="L18" s="16" t="s">
        <v>45</v>
      </c>
    </row>
    <row r="19" customFormat="false" ht="15.75" hidden="false" customHeight="true" outlineLevel="0" collapsed="false">
      <c r="B19" s="17" t="s">
        <v>46</v>
      </c>
      <c r="C19" s="18" t="n">
        <v>1230</v>
      </c>
      <c r="D19" s="18" t="n">
        <v>247</v>
      </c>
      <c r="E19" s="18" t="n">
        <v>4980</v>
      </c>
      <c r="F19" s="19" t="n">
        <f aca="false">C19/C18-1</f>
        <v>-0.00806451612903225</v>
      </c>
      <c r="I19" s="20" t="s">
        <v>47</v>
      </c>
      <c r="J19" s="18" t="n">
        <v>890</v>
      </c>
      <c r="K19" s="21" t="n">
        <v>0.06</v>
      </c>
      <c r="L19" s="22" t="s">
        <v>48</v>
      </c>
    </row>
    <row r="20" customFormat="false" ht="15.75" hidden="false" customHeight="true" outlineLevel="0" collapsed="false">
      <c r="B20" s="11" t="s">
        <v>49</v>
      </c>
      <c r="C20" s="12" t="n">
        <v>1310</v>
      </c>
      <c r="D20" s="12" t="n">
        <v>264</v>
      </c>
      <c r="E20" s="12" t="n">
        <v>4962</v>
      </c>
      <c r="F20" s="23" t="n">
        <f aca="false">C20/C19-1</f>
        <v>0.065040650406504</v>
      </c>
      <c r="I20" s="14" t="s">
        <v>50</v>
      </c>
      <c r="J20" s="12" t="n">
        <v>740</v>
      </c>
      <c r="K20" s="15" t="n">
        <v>0.05</v>
      </c>
      <c r="L20" s="16" t="s">
        <v>51</v>
      </c>
    </row>
    <row r="21" customFormat="false" ht="15.75" hidden="false" customHeight="true" outlineLevel="0" collapsed="false">
      <c r="B21" s="17" t="s">
        <v>52</v>
      </c>
      <c r="C21" s="18" t="n">
        <v>1390</v>
      </c>
      <c r="D21" s="18" t="n">
        <v>278</v>
      </c>
      <c r="E21" s="18" t="n">
        <v>5000</v>
      </c>
      <c r="F21" s="19" t="n">
        <f aca="false">C21/C20-1</f>
        <v>0.0610687022900764</v>
      </c>
      <c r="I21" s="20" t="s">
        <v>53</v>
      </c>
      <c r="J21" s="18" t="n">
        <v>680</v>
      </c>
      <c r="K21" s="21" t="n">
        <v>0.046</v>
      </c>
      <c r="L21" s="22" t="s">
        <v>54</v>
      </c>
    </row>
    <row r="22" customFormat="false" ht="15.75" hidden="false" customHeight="true" outlineLevel="0" collapsed="false">
      <c r="B22" s="11" t="s">
        <v>55</v>
      </c>
      <c r="C22" s="12" t="n">
        <v>1450</v>
      </c>
      <c r="D22" s="12" t="n">
        <v>291</v>
      </c>
      <c r="E22" s="12" t="n">
        <v>4983</v>
      </c>
      <c r="F22" s="23" t="n">
        <f aca="false">C22/C21-1</f>
        <v>0.0431654676258992</v>
      </c>
      <c r="I22" s="14" t="s">
        <v>56</v>
      </c>
      <c r="J22" s="12" t="n">
        <v>2010</v>
      </c>
      <c r="K22" s="15" t="n">
        <v>0.136</v>
      </c>
      <c r="L22" s="24" t="s">
        <v>57</v>
      </c>
    </row>
    <row r="23" customFormat="false" ht="15.75" hidden="false" customHeight="true" outlineLevel="0" collapsed="false">
      <c r="B23" s="17" t="s">
        <v>58</v>
      </c>
      <c r="C23" s="18" t="n">
        <v>1260</v>
      </c>
      <c r="D23" s="18" t="n">
        <v>253</v>
      </c>
      <c r="E23" s="18" t="n">
        <v>4980</v>
      </c>
      <c r="F23" s="19" t="n">
        <f aca="false">C23/C22-1</f>
        <v>-0.131034482758621</v>
      </c>
      <c r="I23" s="25" t="s">
        <v>59</v>
      </c>
      <c r="J23" s="26" t="n">
        <f aca="false">SUM(J14:J22)</f>
        <v>14820</v>
      </c>
      <c r="K23" s="27" t="n">
        <f aca="false">SUM(K14:K22)</f>
        <v>0.999</v>
      </c>
      <c r="L23" s="25"/>
    </row>
    <row r="24" customFormat="false" ht="15.75" hidden="false" customHeight="true" outlineLevel="0" collapsed="false">
      <c r="B24" s="11" t="s">
        <v>60</v>
      </c>
      <c r="C24" s="12" t="n">
        <v>1190</v>
      </c>
      <c r="D24" s="12" t="n">
        <v>239</v>
      </c>
      <c r="E24" s="12" t="n">
        <v>4979</v>
      </c>
      <c r="F24" s="23" t="n">
        <f aca="false">C24/C23-1</f>
        <v>-0.0555555555555556</v>
      </c>
    </row>
    <row r="25" customFormat="false" ht="15.75" hidden="false" customHeight="true" outlineLevel="0" collapsed="false">
      <c r="B25" s="17" t="s">
        <v>61</v>
      </c>
      <c r="C25" s="18" t="n">
        <v>1280</v>
      </c>
      <c r="D25" s="18" t="n">
        <v>257</v>
      </c>
      <c r="E25" s="18" t="n">
        <v>4981</v>
      </c>
      <c r="F25" s="19" t="n">
        <f aca="false">C25/C24-1</f>
        <v>0.0756302521008403</v>
      </c>
    </row>
    <row r="26" customFormat="false" ht="18" hidden="false" customHeight="true" outlineLevel="0" collapsed="false">
      <c r="B26" s="28" t="s">
        <v>59</v>
      </c>
      <c r="C26" s="26" t="n">
        <f aca="false">SUM(C14:C25)</f>
        <v>14820</v>
      </c>
      <c r="D26" s="26" t="n">
        <f aca="false">SUM(D14:D25)</f>
        <v>2976</v>
      </c>
      <c r="E26" s="26" t="n">
        <f aca="false">C26*100000/D26/100</f>
        <v>4979.83870967742</v>
      </c>
      <c r="F26" s="28"/>
    </row>
    <row r="27" customFormat="false" ht="6" hidden="false" customHeight="true" outlineLevel="0" collapsed="false"/>
    <row r="28" customFormat="false" ht="19.5" hidden="false" customHeight="true" outlineLevel="0" collapsed="false">
      <c r="B28" s="9" t="s">
        <v>62</v>
      </c>
      <c r="C28" s="9"/>
      <c r="D28" s="9"/>
      <c r="E28" s="9"/>
      <c r="F28" s="9"/>
      <c r="G28" s="9"/>
      <c r="I28" s="9" t="s">
        <v>63</v>
      </c>
      <c r="J28" s="9"/>
      <c r="K28" s="9"/>
      <c r="L28" s="9"/>
      <c r="M28" s="9"/>
      <c r="N28" s="9"/>
    </row>
    <row r="29" customFormat="false" ht="18" hidden="false" customHeight="true" outlineLevel="0" collapsed="false">
      <c r="B29" s="29" t="s">
        <v>64</v>
      </c>
      <c r="C29" s="29" t="s">
        <v>23</v>
      </c>
      <c r="D29" s="29" t="s">
        <v>65</v>
      </c>
      <c r="E29" s="29" t="s">
        <v>66</v>
      </c>
      <c r="F29" s="29" t="s">
        <v>67</v>
      </c>
      <c r="G29" s="29" t="s">
        <v>68</v>
      </c>
      <c r="I29" s="29" t="s">
        <v>69</v>
      </c>
      <c r="J29" s="29" t="s">
        <v>70</v>
      </c>
      <c r="K29" s="29" t="s">
        <v>71</v>
      </c>
      <c r="L29" s="29" t="s">
        <v>72</v>
      </c>
    </row>
    <row r="30" customFormat="false" ht="15.75" hidden="false" customHeight="true" outlineLevel="0" collapsed="false">
      <c r="B30" s="14" t="s">
        <v>73</v>
      </c>
      <c r="C30" s="12" t="n">
        <v>2240</v>
      </c>
      <c r="D30" s="12" t="n">
        <v>452</v>
      </c>
      <c r="E30" s="12" t="n">
        <v>316</v>
      </c>
      <c r="F30" s="15" t="n">
        <v>0.151</v>
      </c>
      <c r="G30" s="30" t="str">
        <f aca="false">REPT("█",ROUND(F30*100/2,0))</f>
        <v>████████</v>
      </c>
      <c r="I30" s="31" t="s">
        <v>74</v>
      </c>
      <c r="J30" s="32" t="n">
        <v>1820</v>
      </c>
      <c r="K30" s="33" t="n">
        <v>0.052</v>
      </c>
      <c r="L30" s="34" t="s">
        <v>75</v>
      </c>
    </row>
    <row r="31" customFormat="false" ht="15.75" hidden="false" customHeight="true" outlineLevel="0" collapsed="false">
      <c r="B31" s="20" t="s">
        <v>76</v>
      </c>
      <c r="C31" s="18" t="n">
        <v>1980</v>
      </c>
      <c r="D31" s="18" t="n">
        <v>398</v>
      </c>
      <c r="E31" s="18" t="n">
        <v>322</v>
      </c>
      <c r="F31" s="21" t="n">
        <v>0.134</v>
      </c>
      <c r="G31" s="35" t="str">
        <f aca="false">REPT("█",ROUND(F31*100/2,0))</f>
        <v>███████</v>
      </c>
      <c r="I31" s="36" t="s">
        <v>77</v>
      </c>
      <c r="J31" s="37" t="n">
        <v>4310</v>
      </c>
      <c r="K31" s="38" t="n">
        <v>0.123</v>
      </c>
      <c r="L31" s="39" t="s">
        <v>78</v>
      </c>
    </row>
    <row r="32" customFormat="false" ht="15.75" hidden="false" customHeight="true" outlineLevel="0" collapsed="false">
      <c r="B32" s="14" t="s">
        <v>79</v>
      </c>
      <c r="C32" s="12" t="n">
        <v>1760</v>
      </c>
      <c r="D32" s="12" t="n">
        <v>344</v>
      </c>
      <c r="E32" s="12" t="n">
        <v>331</v>
      </c>
      <c r="F32" s="15" t="n">
        <v>0.119</v>
      </c>
      <c r="G32" s="30" t="str">
        <f aca="false">REPT("█",ROUND(F32*100/2,0))</f>
        <v>██████</v>
      </c>
      <c r="I32" s="40" t="s">
        <v>80</v>
      </c>
      <c r="J32" s="41" t="n">
        <v>3940</v>
      </c>
      <c r="K32" s="42" t="n">
        <v>0.112</v>
      </c>
      <c r="L32" s="43" t="s">
        <v>81</v>
      </c>
    </row>
    <row r="33" customFormat="false" ht="15.75" hidden="false" customHeight="true" outlineLevel="0" collapsed="false">
      <c r="B33" s="20" t="s">
        <v>82</v>
      </c>
      <c r="C33" s="18" t="n">
        <v>1120</v>
      </c>
      <c r="D33" s="18" t="n">
        <v>218</v>
      </c>
      <c r="E33" s="18" t="n">
        <v>308</v>
      </c>
      <c r="F33" s="21" t="n">
        <v>0.076</v>
      </c>
      <c r="G33" s="35" t="str">
        <f aca="false">REPT("█",ROUND(F33*100/2,0))</f>
        <v>████</v>
      </c>
      <c r="I33" s="44" t="s">
        <v>83</v>
      </c>
      <c r="J33" s="45" t="n">
        <v>10280</v>
      </c>
      <c r="K33" s="46" t="n">
        <v>0.293</v>
      </c>
      <c r="L33" s="47" t="s">
        <v>84</v>
      </c>
    </row>
    <row r="34" customFormat="false" ht="15.75" hidden="false" customHeight="true" outlineLevel="0" collapsed="false">
      <c r="B34" s="14" t="s">
        <v>85</v>
      </c>
      <c r="C34" s="12" t="n">
        <v>890</v>
      </c>
      <c r="D34" s="12" t="n">
        <v>174</v>
      </c>
      <c r="E34" s="12" t="n">
        <v>310</v>
      </c>
      <c r="F34" s="15" t="n">
        <v>0.06</v>
      </c>
      <c r="G34" s="30" t="str">
        <f aca="false">REPT("█",ROUND(F34*100/2,0))</f>
        <v>███</v>
      </c>
      <c r="I34" s="48" t="s">
        <v>86</v>
      </c>
      <c r="J34" s="49" t="n">
        <v>4860</v>
      </c>
      <c r="K34" s="50" t="n">
        <v>0.138</v>
      </c>
      <c r="L34" s="51" t="s">
        <v>87</v>
      </c>
    </row>
    <row r="35" customFormat="false" ht="15.75" hidden="false" customHeight="true" outlineLevel="0" collapsed="false">
      <c r="B35" s="20" t="s">
        <v>88</v>
      </c>
      <c r="C35" s="18" t="n">
        <v>840</v>
      </c>
      <c r="D35" s="18" t="n">
        <v>166</v>
      </c>
      <c r="E35" s="18" t="n">
        <v>307</v>
      </c>
      <c r="F35" s="21" t="n">
        <v>0.057</v>
      </c>
      <c r="G35" s="35" t="str">
        <f aca="false">REPT("█",ROUND(F35*100/2,0))</f>
        <v>███</v>
      </c>
      <c r="I35" s="52" t="s">
        <v>89</v>
      </c>
      <c r="J35" s="53" t="n">
        <v>8930</v>
      </c>
      <c r="K35" s="54" t="n">
        <v>0.254</v>
      </c>
      <c r="L35" s="55" t="s">
        <v>90</v>
      </c>
    </row>
    <row r="36" customFormat="false" ht="15.75" hidden="false" customHeight="true" outlineLevel="0" collapsed="false">
      <c r="B36" s="14" t="s">
        <v>91</v>
      </c>
      <c r="C36" s="12" t="n">
        <v>780</v>
      </c>
      <c r="D36" s="12" t="n">
        <v>154</v>
      </c>
      <c r="E36" s="12" t="n">
        <v>305</v>
      </c>
      <c r="F36" s="15" t="n">
        <v>0.053</v>
      </c>
      <c r="G36" s="30" t="str">
        <f aca="false">REPT("█",ROUND(F36*100/2,0))</f>
        <v>███</v>
      </c>
      <c r="I36" s="56" t="s">
        <v>92</v>
      </c>
      <c r="J36" s="57" t="n">
        <v>1960</v>
      </c>
      <c r="K36" s="58" t="n">
        <v>0.056</v>
      </c>
      <c r="L36" s="59" t="s">
        <v>90</v>
      </c>
    </row>
    <row r="37" customFormat="false" ht="15.75" hidden="false" customHeight="true" outlineLevel="0" collapsed="false">
      <c r="B37" s="20" t="s">
        <v>93</v>
      </c>
      <c r="C37" s="18" t="n">
        <v>620</v>
      </c>
      <c r="D37" s="18" t="n">
        <v>124</v>
      </c>
      <c r="E37" s="18" t="n">
        <v>302</v>
      </c>
      <c r="F37" s="21" t="n">
        <v>0.042</v>
      </c>
      <c r="G37" s="35" t="str">
        <f aca="false">REPT("█",ROUND(F37*100/2,0))</f>
        <v>██</v>
      </c>
    </row>
    <row r="38" customFormat="false" ht="15.75" hidden="false" customHeight="true" outlineLevel="0" collapsed="false">
      <c r="B38" s="14" t="s">
        <v>94</v>
      </c>
      <c r="C38" s="12" t="n">
        <v>520</v>
      </c>
      <c r="D38" s="12" t="n">
        <v>104</v>
      </c>
      <c r="E38" s="12" t="n">
        <v>303</v>
      </c>
      <c r="F38" s="15" t="n">
        <v>0.035</v>
      </c>
      <c r="G38" s="30" t="str">
        <f aca="false">REPT("█",ROUND(F38*100/2,0))</f>
        <v>██</v>
      </c>
    </row>
    <row r="39" customFormat="false" ht="15.75" hidden="false" customHeight="true" outlineLevel="0" collapsed="false">
      <c r="B39" s="20" t="s">
        <v>95</v>
      </c>
      <c r="C39" s="18" t="n">
        <v>460</v>
      </c>
      <c r="D39" s="18" t="n">
        <v>92</v>
      </c>
      <c r="E39" s="18" t="n">
        <v>304</v>
      </c>
      <c r="F39" s="21" t="n">
        <v>0.031</v>
      </c>
      <c r="G39" s="35" t="str">
        <f aca="false">REPT("█",ROUND(F39*100/2,0))</f>
        <v>██</v>
      </c>
    </row>
    <row r="40" customFormat="false" ht="18" hidden="false" customHeight="true" outlineLevel="0" collapsed="false"/>
    <row r="41" customFormat="false" ht="7.5" hidden="false" customHeight="true" outlineLevel="0" collapsed="false"/>
    <row r="42" customFormat="false" ht="19.5" hidden="false" customHeight="true" outlineLevel="0" collapsed="false">
      <c r="B42" s="9" t="s">
        <v>96</v>
      </c>
      <c r="C42" s="9"/>
      <c r="D42" s="9"/>
      <c r="E42" s="9"/>
      <c r="F42" s="9"/>
      <c r="G42" s="9"/>
      <c r="I42" s="9" t="s">
        <v>97</v>
      </c>
      <c r="J42" s="9"/>
      <c r="K42" s="9"/>
      <c r="L42" s="9"/>
      <c r="M42" s="9"/>
      <c r="N42" s="9"/>
    </row>
    <row r="43" customFormat="false" ht="18" hidden="false" customHeight="true" outlineLevel="0" collapsed="false">
      <c r="B43" s="29" t="s">
        <v>98</v>
      </c>
      <c r="C43" s="29" t="s">
        <v>99</v>
      </c>
      <c r="D43" s="29" t="s">
        <v>100</v>
      </c>
      <c r="E43" s="29" t="s">
        <v>101</v>
      </c>
      <c r="F43" s="29" t="s">
        <v>102</v>
      </c>
      <c r="G43" s="29" t="s">
        <v>103</v>
      </c>
      <c r="I43" s="29" t="s">
        <v>104</v>
      </c>
      <c r="J43" s="29" t="s">
        <v>105</v>
      </c>
      <c r="K43" s="29" t="s">
        <v>23</v>
      </c>
      <c r="L43" s="29" t="s">
        <v>106</v>
      </c>
      <c r="M43" s="29" t="s">
        <v>107</v>
      </c>
      <c r="N43" s="29" t="s">
        <v>108</v>
      </c>
    </row>
    <row r="44" customFormat="false" ht="15.75" hidden="false" customHeight="true" outlineLevel="0" collapsed="false">
      <c r="B44" s="14" t="s">
        <v>109</v>
      </c>
      <c r="C44" s="60" t="n">
        <v>32.4</v>
      </c>
      <c r="D44" s="60" t="n">
        <v>31.8</v>
      </c>
      <c r="E44" s="60" t="n">
        <v>30.2</v>
      </c>
      <c r="F44" s="60" t="n">
        <v>29.6</v>
      </c>
      <c r="G44" s="61" t="n">
        <f aca="false">AVERAGE(C44:F44)</f>
        <v>31</v>
      </c>
      <c r="I44" s="14" t="s">
        <v>110</v>
      </c>
      <c r="J44" s="12" t="n">
        <v>4820</v>
      </c>
      <c r="K44" s="12" t="n">
        <v>1680</v>
      </c>
      <c r="L44" s="62" t="n">
        <v>218</v>
      </c>
      <c r="M44" s="63" t="n">
        <f aca="false">K44-L44</f>
        <v>1462</v>
      </c>
      <c r="N44" s="64" t="n">
        <f aca="false">L44/K44</f>
        <v>0.129761904761905</v>
      </c>
    </row>
    <row r="45" customFormat="false" ht="15.75" hidden="false" customHeight="true" outlineLevel="0" collapsed="false">
      <c r="B45" s="20" t="s">
        <v>111</v>
      </c>
      <c r="C45" s="65" t="n">
        <v>88.2</v>
      </c>
      <c r="D45" s="65" t="n">
        <v>89.1</v>
      </c>
      <c r="E45" s="65" t="n">
        <v>91.4</v>
      </c>
      <c r="F45" s="65" t="n">
        <v>92.8</v>
      </c>
      <c r="G45" s="61" t="n">
        <f aca="false">AVERAGE(C45:F45)</f>
        <v>90.375</v>
      </c>
      <c r="I45" s="20" t="s">
        <v>112</v>
      </c>
      <c r="J45" s="18" t="n">
        <v>8140</v>
      </c>
      <c r="K45" s="18" t="n">
        <v>2860</v>
      </c>
      <c r="L45" s="66" t="n">
        <v>94</v>
      </c>
      <c r="M45" s="67" t="n">
        <f aca="false">K45-L45</f>
        <v>2766</v>
      </c>
      <c r="N45" s="68" t="n">
        <f aca="false">L45/K45</f>
        <v>0.0328671328671329</v>
      </c>
    </row>
    <row r="46" customFormat="false" ht="15.75" hidden="false" customHeight="true" outlineLevel="0" collapsed="false">
      <c r="B46" s="14" t="s">
        <v>113</v>
      </c>
      <c r="C46" s="60" t="n">
        <v>4.8</v>
      </c>
      <c r="D46" s="60" t="n">
        <v>4.3</v>
      </c>
      <c r="E46" s="60" t="n">
        <v>3.9</v>
      </c>
      <c r="F46" s="60" t="n">
        <v>3.6</v>
      </c>
      <c r="G46" s="61" t="n">
        <f aca="false">AVERAGE(C46:F46)</f>
        <v>4.15</v>
      </c>
      <c r="I46" s="14" t="s">
        <v>114</v>
      </c>
      <c r="J46" s="12" t="n">
        <v>3410</v>
      </c>
      <c r="K46" s="12" t="n">
        <v>1420</v>
      </c>
      <c r="L46" s="62" t="n">
        <v>162</v>
      </c>
      <c r="M46" s="63" t="n">
        <f aca="false">K46-L46</f>
        <v>1258</v>
      </c>
      <c r="N46" s="64" t="n">
        <f aca="false">L46/K46</f>
        <v>0.114084507042254</v>
      </c>
    </row>
    <row r="47" customFormat="false" ht="15.75" hidden="false" customHeight="true" outlineLevel="0" collapsed="false">
      <c r="B47" s="20" t="s">
        <v>115</v>
      </c>
      <c r="C47" s="65" t="n">
        <v>4.18</v>
      </c>
      <c r="D47" s="65" t="n">
        <v>4.21</v>
      </c>
      <c r="E47" s="65" t="n">
        <v>4.24</v>
      </c>
      <c r="F47" s="65" t="n">
        <v>4.27</v>
      </c>
      <c r="G47" s="61" t="n">
        <f aca="false">AVERAGE(C47:F47)</f>
        <v>4.225</v>
      </c>
      <c r="I47" s="20" t="s">
        <v>116</v>
      </c>
      <c r="J47" s="18" t="n">
        <v>6230</v>
      </c>
      <c r="K47" s="18" t="n">
        <v>2480</v>
      </c>
      <c r="L47" s="66" t="n">
        <v>134</v>
      </c>
      <c r="M47" s="67" t="n">
        <f aca="false">K47-L47</f>
        <v>2346</v>
      </c>
      <c r="N47" s="68" t="n">
        <f aca="false">L47/K47</f>
        <v>0.0540322580645161</v>
      </c>
    </row>
    <row r="48" customFormat="false" ht="15.75" hidden="false" customHeight="true" outlineLevel="0" collapsed="false">
      <c r="B48" s="14" t="s">
        <v>117</v>
      </c>
      <c r="C48" s="60" t="n">
        <v>18.4</v>
      </c>
      <c r="D48" s="60" t="n">
        <v>19.2</v>
      </c>
      <c r="E48" s="60" t="n">
        <v>20.1</v>
      </c>
      <c r="F48" s="60" t="n">
        <v>21.3</v>
      </c>
      <c r="G48" s="61" t="n">
        <f aca="false">AVERAGE(C48:F48)</f>
        <v>19.75</v>
      </c>
      <c r="I48" s="14" t="s">
        <v>118</v>
      </c>
      <c r="J48" s="12" t="n">
        <v>1840</v>
      </c>
      <c r="K48" s="12" t="n">
        <v>520</v>
      </c>
      <c r="L48" s="62" t="n">
        <v>108</v>
      </c>
      <c r="M48" s="63" t="n">
        <f aca="false">K48-L48</f>
        <v>412</v>
      </c>
      <c r="N48" s="64" t="n">
        <f aca="false">L48/K48</f>
        <v>0.207692307692308</v>
      </c>
    </row>
    <row r="49" customFormat="false" ht="15.75" hidden="false" customHeight="true" outlineLevel="0" collapsed="false">
      <c r="B49" s="20" t="s">
        <v>119</v>
      </c>
      <c r="C49" s="65" t="n">
        <v>38</v>
      </c>
      <c r="D49" s="65" t="n">
        <v>36.4</v>
      </c>
      <c r="E49" s="65" t="n">
        <v>34.8</v>
      </c>
      <c r="F49" s="65" t="n">
        <v>33.2</v>
      </c>
      <c r="G49" s="61" t="n">
        <f aca="false">AVERAGE(C49:F49)</f>
        <v>35.6</v>
      </c>
      <c r="I49" s="20" t="s">
        <v>120</v>
      </c>
      <c r="J49" s="18" t="n">
        <v>2190</v>
      </c>
      <c r="K49" s="18" t="n">
        <v>840</v>
      </c>
      <c r="L49" s="66" t="n">
        <v>64</v>
      </c>
      <c r="M49" s="67" t="n">
        <f aca="false">K49-L49</f>
        <v>776</v>
      </c>
      <c r="N49" s="68" t="n">
        <f aca="false">L49/K49</f>
        <v>0.0761904761904762</v>
      </c>
    </row>
    <row r="50" customFormat="false" ht="18" hidden="false" customHeight="true" outlineLevel="0" collapsed="false"/>
    <row r="51" customFormat="false" ht="18" hidden="false" customHeight="true" outlineLevel="0" collapsed="false"/>
    <row r="52" customFormat="false" ht="6" hidden="false" customHeight="true" outlineLevel="0" collapsed="false"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</row>
    <row r="53" customFormat="false" ht="15.75" hidden="false" customHeight="true" outlineLevel="0" collapsed="false">
      <c r="B53" s="70" t="s">
        <v>121</v>
      </c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</row>
    <row r="54" customFormat="false" ht="6" hidden="false" customHeight="true" outlineLevel="0" collapsed="false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</row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</sheetData>
  <mergeCells count="27">
    <mergeCell ref="B2:N2"/>
    <mergeCell ref="B4:N4"/>
    <mergeCell ref="B7:C7"/>
    <mergeCell ref="D7:E7"/>
    <mergeCell ref="F7:G7"/>
    <mergeCell ref="I7:J7"/>
    <mergeCell ref="K7:L7"/>
    <mergeCell ref="M7:N7"/>
    <mergeCell ref="B8:C8"/>
    <mergeCell ref="D8:E8"/>
    <mergeCell ref="F8:G8"/>
    <mergeCell ref="I8:J8"/>
    <mergeCell ref="K8:L8"/>
    <mergeCell ref="M8:N8"/>
    <mergeCell ref="B9:C9"/>
    <mergeCell ref="D9:E9"/>
    <mergeCell ref="F9:G9"/>
    <mergeCell ref="I9:J9"/>
    <mergeCell ref="K9:L9"/>
    <mergeCell ref="M9:N9"/>
    <mergeCell ref="B12:G12"/>
    <mergeCell ref="I12:N12"/>
    <mergeCell ref="B28:G28"/>
    <mergeCell ref="I28:N28"/>
    <mergeCell ref="B42:G42"/>
    <mergeCell ref="I42:N42"/>
    <mergeCell ref="B53:N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0"/>
  </cols>
  <sheetData>
    <row r="1" customFormat="false" ht="15" hidden="false" customHeight="false" outlineLevel="0" collapsed="false">
      <c r="A1" s="71" t="s">
        <v>22</v>
      </c>
      <c r="B1" s="71" t="s">
        <v>122</v>
      </c>
      <c r="C1" s="71" t="s">
        <v>123</v>
      </c>
      <c r="D1" s="71" t="s">
        <v>124</v>
      </c>
      <c r="E1" s="71" t="s">
        <v>125</v>
      </c>
      <c r="F1" s="71" t="s">
        <v>126</v>
      </c>
      <c r="G1" s="71" t="s">
        <v>127</v>
      </c>
      <c r="H1" s="71" t="s">
        <v>128</v>
      </c>
      <c r="I1" s="71" t="s">
        <v>129</v>
      </c>
      <c r="J1" s="71" t="s">
        <v>130</v>
      </c>
      <c r="K1" s="71" t="s">
        <v>131</v>
      </c>
      <c r="L1" s="71" t="s">
        <v>132</v>
      </c>
    </row>
    <row r="2" customFormat="false" ht="15" hidden="false" customHeight="false" outlineLevel="0" collapsed="false">
      <c r="A2" s="72" t="s">
        <v>30</v>
      </c>
      <c r="B2" s="72" t="n">
        <v>2024</v>
      </c>
      <c r="C2" s="72" t="n">
        <v>1080</v>
      </c>
      <c r="D2" s="72" t="n">
        <v>218</v>
      </c>
      <c r="E2" s="72" t="n">
        <v>321</v>
      </c>
      <c r="F2" s="72" t="n">
        <v>194820</v>
      </c>
      <c r="G2" s="72" t="n">
        <v>7.8</v>
      </c>
      <c r="H2" s="72" t="n">
        <v>18.2</v>
      </c>
      <c r="I2" s="72" t="n">
        <v>10.4</v>
      </c>
      <c r="J2" s="72" t="n">
        <v>33.1</v>
      </c>
      <c r="K2" s="72" t="n">
        <v>88.2</v>
      </c>
      <c r="L2" s="72" t="n">
        <v>4.8</v>
      </c>
    </row>
    <row r="3" customFormat="false" ht="15" hidden="false" customHeight="false" outlineLevel="0" collapsed="false">
      <c r="A3" s="73" t="s">
        <v>34</v>
      </c>
      <c r="B3" s="73" t="n">
        <v>2024</v>
      </c>
      <c r="C3" s="73" t="n">
        <v>1120</v>
      </c>
      <c r="D3" s="73" t="n">
        <v>224</v>
      </c>
      <c r="E3" s="73" t="n">
        <v>318</v>
      </c>
      <c r="F3" s="73" t="n">
        <v>197340</v>
      </c>
      <c r="G3" s="73" t="n">
        <v>8</v>
      </c>
      <c r="H3" s="73" t="n">
        <v>17.9</v>
      </c>
      <c r="I3" s="73" t="n">
        <v>10.6</v>
      </c>
      <c r="J3" s="73" t="n">
        <v>32.8</v>
      </c>
      <c r="K3" s="73" t="n">
        <v>88.8</v>
      </c>
      <c r="L3" s="73" t="n">
        <v>4.6</v>
      </c>
    </row>
    <row r="4" customFormat="false" ht="15" hidden="false" customHeight="false" outlineLevel="0" collapsed="false">
      <c r="A4" s="72" t="s">
        <v>37</v>
      </c>
      <c r="B4" s="72" t="n">
        <v>2024</v>
      </c>
      <c r="C4" s="72" t="n">
        <v>1090</v>
      </c>
      <c r="D4" s="72" t="n">
        <v>216</v>
      </c>
      <c r="E4" s="72" t="n">
        <v>322</v>
      </c>
      <c r="F4" s="72" t="n">
        <v>198600</v>
      </c>
      <c r="G4" s="72" t="n">
        <v>8.1</v>
      </c>
      <c r="H4" s="72" t="n">
        <v>16.4</v>
      </c>
      <c r="I4" s="72" t="n">
        <v>10.2</v>
      </c>
      <c r="J4" s="72" t="n">
        <v>32.4</v>
      </c>
      <c r="K4" s="72" t="n">
        <v>89.1</v>
      </c>
      <c r="L4" s="72" t="n">
        <v>4.3</v>
      </c>
    </row>
    <row r="5" customFormat="false" ht="15" hidden="false" customHeight="false" outlineLevel="0" collapsed="false">
      <c r="A5" s="73" t="s">
        <v>40</v>
      </c>
      <c r="B5" s="73" t="n">
        <v>2024</v>
      </c>
      <c r="C5" s="73" t="n">
        <v>1180</v>
      </c>
      <c r="D5" s="73" t="n">
        <v>238</v>
      </c>
      <c r="E5" s="73" t="n">
        <v>319</v>
      </c>
      <c r="F5" s="73" t="n">
        <v>200120</v>
      </c>
      <c r="G5" s="73" t="n">
        <v>8.3</v>
      </c>
      <c r="H5" s="73" t="n">
        <v>19.8</v>
      </c>
      <c r="I5" s="73" t="n">
        <v>11</v>
      </c>
      <c r="J5" s="73" t="n">
        <v>31.9</v>
      </c>
      <c r="K5" s="73" t="n">
        <v>89.6</v>
      </c>
      <c r="L5" s="73" t="n">
        <v>4.2</v>
      </c>
    </row>
    <row r="6" customFormat="false" ht="15" hidden="false" customHeight="false" outlineLevel="0" collapsed="false">
      <c r="A6" s="72" t="s">
        <v>43</v>
      </c>
      <c r="B6" s="72" t="n">
        <v>2024</v>
      </c>
      <c r="C6" s="72" t="n">
        <v>1240</v>
      </c>
      <c r="D6" s="72" t="n">
        <v>251</v>
      </c>
      <c r="E6" s="72" t="n">
        <v>316</v>
      </c>
      <c r="F6" s="72" t="n">
        <v>204480</v>
      </c>
      <c r="G6" s="72" t="n">
        <v>8.5</v>
      </c>
      <c r="H6" s="72" t="n">
        <v>21.2</v>
      </c>
      <c r="I6" s="72" t="n">
        <v>11.3</v>
      </c>
      <c r="J6" s="72" t="n">
        <v>31.4</v>
      </c>
      <c r="K6" s="72" t="n">
        <v>90.2</v>
      </c>
      <c r="L6" s="72" t="n">
        <v>4.1</v>
      </c>
    </row>
    <row r="7" customFormat="false" ht="15" hidden="false" customHeight="false" outlineLevel="0" collapsed="false">
      <c r="A7" s="73" t="s">
        <v>46</v>
      </c>
      <c r="B7" s="73" t="n">
        <v>2024</v>
      </c>
      <c r="C7" s="73" t="n">
        <v>1230</v>
      </c>
      <c r="D7" s="73" t="n">
        <v>247</v>
      </c>
      <c r="E7" s="73" t="n">
        <v>318</v>
      </c>
      <c r="F7" s="73" t="n">
        <v>206840</v>
      </c>
      <c r="G7" s="73" t="n">
        <v>8.6</v>
      </c>
      <c r="H7" s="73" t="n">
        <v>19.4</v>
      </c>
      <c r="I7" s="73" t="n">
        <v>11.1</v>
      </c>
      <c r="J7" s="73" t="n">
        <v>31.8</v>
      </c>
      <c r="K7" s="73" t="n">
        <v>90.8</v>
      </c>
      <c r="L7" s="73" t="n">
        <v>3.9</v>
      </c>
    </row>
    <row r="8" customFormat="false" ht="15" hidden="false" customHeight="false" outlineLevel="0" collapsed="false">
      <c r="A8" s="72" t="s">
        <v>49</v>
      </c>
      <c r="B8" s="72" t="n">
        <v>2024</v>
      </c>
      <c r="C8" s="72" t="n">
        <v>1310</v>
      </c>
      <c r="D8" s="72" t="n">
        <v>264</v>
      </c>
      <c r="E8" s="72" t="n">
        <v>317</v>
      </c>
      <c r="F8" s="72" t="n">
        <v>208900</v>
      </c>
      <c r="G8" s="72" t="n">
        <v>8.8</v>
      </c>
      <c r="H8" s="72" t="n">
        <v>22.6</v>
      </c>
      <c r="I8" s="72" t="n">
        <v>11.8</v>
      </c>
      <c r="J8" s="72" t="n">
        <v>30.6</v>
      </c>
      <c r="K8" s="72" t="n">
        <v>91.2</v>
      </c>
      <c r="L8" s="72" t="n">
        <v>3.8</v>
      </c>
    </row>
    <row r="9" customFormat="false" ht="15" hidden="false" customHeight="false" outlineLevel="0" collapsed="false">
      <c r="A9" s="73" t="s">
        <v>52</v>
      </c>
      <c r="B9" s="73" t="n">
        <v>2024</v>
      </c>
      <c r="C9" s="73" t="n">
        <v>1390</v>
      </c>
      <c r="D9" s="73" t="n">
        <v>278</v>
      </c>
      <c r="E9" s="73" t="n">
        <v>320</v>
      </c>
      <c r="F9" s="73" t="n">
        <v>212340</v>
      </c>
      <c r="G9" s="73" t="n">
        <v>9</v>
      </c>
      <c r="H9" s="73" t="n">
        <v>24.1</v>
      </c>
      <c r="I9" s="73" t="n">
        <v>12.1</v>
      </c>
      <c r="J9" s="73" t="n">
        <v>30.2</v>
      </c>
      <c r="K9" s="73" t="n">
        <v>91.6</v>
      </c>
      <c r="L9" s="73" t="n">
        <v>3.7</v>
      </c>
    </row>
    <row r="10" customFormat="false" ht="15" hidden="false" customHeight="false" outlineLevel="0" collapsed="false">
      <c r="A10" s="72" t="s">
        <v>55</v>
      </c>
      <c r="B10" s="72" t="n">
        <v>2024</v>
      </c>
      <c r="C10" s="72" t="n">
        <v>1450</v>
      </c>
      <c r="D10" s="72" t="n">
        <v>291</v>
      </c>
      <c r="E10" s="72" t="n">
        <v>322</v>
      </c>
      <c r="F10" s="72" t="n">
        <v>214880</v>
      </c>
      <c r="G10" s="72" t="n">
        <v>9.2</v>
      </c>
      <c r="H10" s="72" t="n">
        <v>26.8</v>
      </c>
      <c r="I10" s="72" t="n">
        <v>12.4</v>
      </c>
      <c r="J10" s="72" t="n">
        <v>29.8</v>
      </c>
      <c r="K10" s="72" t="n">
        <v>92</v>
      </c>
      <c r="L10" s="72" t="n">
        <v>3.6</v>
      </c>
    </row>
    <row r="11" customFormat="false" ht="15" hidden="false" customHeight="false" outlineLevel="0" collapsed="false">
      <c r="A11" s="73" t="s">
        <v>58</v>
      </c>
      <c r="B11" s="73" t="n">
        <v>2025</v>
      </c>
      <c r="C11" s="73" t="n">
        <v>1260</v>
      </c>
      <c r="D11" s="73" t="n">
        <v>253</v>
      </c>
      <c r="E11" s="73" t="n">
        <v>319</v>
      </c>
      <c r="F11" s="73" t="n">
        <v>216020</v>
      </c>
      <c r="G11" s="73" t="n">
        <v>9.3</v>
      </c>
      <c r="H11" s="73" t="n">
        <v>20.4</v>
      </c>
      <c r="I11" s="73" t="n">
        <v>11.5</v>
      </c>
      <c r="J11" s="73" t="n">
        <v>29.6</v>
      </c>
      <c r="K11" s="73" t="n">
        <v>92.4</v>
      </c>
      <c r="L11" s="73" t="n">
        <v>3.6</v>
      </c>
    </row>
    <row r="12" customFormat="false" ht="15" hidden="false" customHeight="false" outlineLevel="0" collapsed="false">
      <c r="A12" s="72" t="s">
        <v>60</v>
      </c>
      <c r="B12" s="72" t="n">
        <v>2025</v>
      </c>
      <c r="C12" s="72" t="n">
        <v>1190</v>
      </c>
      <c r="D12" s="72" t="n">
        <v>239</v>
      </c>
      <c r="E12" s="72" t="n">
        <v>317</v>
      </c>
      <c r="F12" s="72" t="n">
        <v>217460</v>
      </c>
      <c r="G12" s="72" t="n">
        <v>9.3</v>
      </c>
      <c r="H12" s="72" t="n">
        <v>17.8</v>
      </c>
      <c r="I12" s="72" t="n">
        <v>10.9</v>
      </c>
      <c r="J12" s="72" t="n">
        <v>29.4</v>
      </c>
      <c r="K12" s="72" t="n">
        <v>92.6</v>
      </c>
      <c r="L12" s="72" t="n">
        <v>3.5</v>
      </c>
    </row>
    <row r="13" customFormat="false" ht="15" hidden="false" customHeight="false" outlineLevel="0" collapsed="false">
      <c r="A13" s="73" t="s">
        <v>61</v>
      </c>
      <c r="B13" s="73" t="n">
        <v>2025</v>
      </c>
      <c r="C13" s="73" t="n">
        <v>1280</v>
      </c>
      <c r="D13" s="73" t="n">
        <v>257</v>
      </c>
      <c r="E13" s="73" t="n">
        <v>321</v>
      </c>
      <c r="F13" s="73" t="n">
        <v>218540</v>
      </c>
      <c r="G13" s="73" t="n">
        <v>9.4</v>
      </c>
      <c r="H13" s="73" t="n">
        <v>21.6</v>
      </c>
      <c r="I13" s="73" t="n">
        <v>11.2</v>
      </c>
      <c r="J13" s="73" t="n">
        <v>29.6</v>
      </c>
      <c r="K13" s="73" t="n">
        <v>92.8</v>
      </c>
      <c r="L13" s="73" t="n">
        <v>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2026-05-18T02:25:04Z</dcterms:created>
  <dc:creator>openpyxl</dc:creator>
  <dc:description/>
  <dc:language>en-US</dc:language>
  <cp:lastModifiedBy/>
  <dcterms:modified xsi:type="dcterms:W3CDTF">2026-05-18T02:25:10Z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